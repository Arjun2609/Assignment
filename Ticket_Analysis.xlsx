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jun\Desktop\Data_Analyst_Assignment\Spreadsheets\"/>
    </mc:Choice>
  </mc:AlternateContent>
  <xr:revisionPtr revIDLastSave="0" documentId="13_ncr:1_{33740135-0E79-4D1D-87AE-A7735F9E4139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ticket" sheetId="1" r:id="rId1"/>
    <sheet name="feedbacks" sheetId="2" r:id="rId2"/>
    <sheet name="Total Counts" sheetId="3" r:id="rId3"/>
  </sheets>
  <calcPr calcId="191029"/>
</workbook>
</file>

<file path=xl/calcChain.xml><?xml version="1.0" encoding="utf-8"?>
<calcChain xmlns="http://schemas.openxmlformats.org/spreadsheetml/2006/main">
  <c r="D2" i="2" l="1"/>
  <c r="B3" i="3"/>
  <c r="B2" i="3"/>
  <c r="G3" i="1"/>
  <c r="C2" i="3" s="1"/>
  <c r="F3" i="1"/>
  <c r="G2" i="1"/>
  <c r="C3" i="3" s="1"/>
  <c r="F2" i="1"/>
</calcChain>
</file>

<file path=xl/sharedStrings.xml><?xml version="1.0" encoding="utf-8"?>
<sst xmlns="http://schemas.openxmlformats.org/spreadsheetml/2006/main" count="22" uniqueCount="17">
  <si>
    <t>ticket_id</t>
  </si>
  <si>
    <t>created_at</t>
  </si>
  <si>
    <t>closed_at</t>
  </si>
  <si>
    <t>outlet_id</t>
  </si>
  <si>
    <t>cms_id</t>
  </si>
  <si>
    <t>Same Day?</t>
  </si>
  <si>
    <t>Same Hour?</t>
  </si>
  <si>
    <t>isu-sjd-457</t>
  </si>
  <si>
    <t>wrqy-juv-978</t>
  </si>
  <si>
    <t>vew-iuvd-12</t>
  </si>
  <si>
    <t>qer-fal-092</t>
  </si>
  <si>
    <t>8woh-k3u-23b</t>
  </si>
  <si>
    <t>feedback_at</t>
  </si>
  <si>
    <t>feedback_rating</t>
  </si>
  <si>
    <t>ticket_created_at</t>
  </si>
  <si>
    <t>Same Day Count</t>
  </si>
  <si>
    <t>Same Hour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</si>
</sst>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9" sqref="D9"/>
    </sheetView>
  </sheetViews>
  <sheetFormatPr defaultRowHeight="14.4" x14ac:dyDescent="0.3"/>
  <cols>
    <col min="1" max="7" width="2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44427.698414351849</v>
      </c>
      <c r="C2" s="1">
        <v>44430.523287037038</v>
      </c>
      <c r="D2" t="s">
        <v>8</v>
      </c>
      <c r="E2" t="s">
        <v>9</v>
      </c>
      <c r="F2" t="b">
        <f>INT(B2)=INT(C2)</f>
        <v>0</v>
      </c>
      <c r="G2" t="b">
        <f>AND(INT(B2)=INT(C2), HOUR(B2)=HOUR(C2))</f>
        <v>0</v>
      </c>
    </row>
    <row r="3" spans="1:7" x14ac:dyDescent="0.3">
      <c r="A3" t="s">
        <v>10</v>
      </c>
      <c r="B3" s="1">
        <v>44429.464837962973</v>
      </c>
      <c r="C3" s="1">
        <v>44429.717881944453</v>
      </c>
      <c r="D3" t="s">
        <v>11</v>
      </c>
      <c r="F3" t="b">
        <f>INT(B3)=INT(C3)</f>
        <v>1</v>
      </c>
      <c r="G3" t="b">
        <f>AND(INT(B3)=INT(C3), HOUR(B3)=HOUR(C3))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D3" sqref="D3"/>
    </sheetView>
  </sheetViews>
  <sheetFormatPr defaultRowHeight="14.4" x14ac:dyDescent="0.3"/>
  <cols>
    <col min="1" max="7" width="20" customWidth="1"/>
  </cols>
  <sheetData>
    <row r="1" spans="1:4" x14ac:dyDescent="0.3">
      <c r="A1" t="s">
        <v>4</v>
      </c>
      <c r="B1" t="s">
        <v>12</v>
      </c>
      <c r="C1" t="s">
        <v>13</v>
      </c>
      <c r="D1" t="s">
        <v>14</v>
      </c>
    </row>
    <row r="2" spans="1:4" x14ac:dyDescent="0.3">
      <c r="A2" t="s">
        <v>9</v>
      </c>
      <c r="B2" s="1">
        <v>44429.560277777768</v>
      </c>
      <c r="C2">
        <v>3</v>
      </c>
      <c r="D2" s="2">
        <f>INDEX(ticket!$B:$B, MATCH(A2, ticket!$E:$E, 0))</f>
        <v>44427.698414351849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tabSelected="1" workbookViewId="0">
      <selection activeCell="D9" sqref="D9"/>
    </sheetView>
  </sheetViews>
  <sheetFormatPr defaultRowHeight="14.4" x14ac:dyDescent="0.3"/>
  <cols>
    <col min="1" max="7" width="20" customWidth="1"/>
  </cols>
  <sheetData>
    <row r="1" spans="1:3" x14ac:dyDescent="0.3">
      <c r="A1" t="s">
        <v>3</v>
      </c>
      <c r="B1" t="s">
        <v>15</v>
      </c>
      <c r="C1" t="s">
        <v>16</v>
      </c>
    </row>
    <row r="2" spans="1:3" x14ac:dyDescent="0.3">
      <c r="A2" t="s">
        <v>11</v>
      </c>
      <c r="B2">
        <f>COUNTIFS(ticket!$D:$D, $A2, ticket!$F:$F, TRUE)</f>
        <v>1</v>
      </c>
      <c r="C2">
        <f>COUNTIFS(ticket!$D:$D, $A2, ticket!$G:$G, TRUE)</f>
        <v>0</v>
      </c>
    </row>
    <row r="3" spans="1:3" x14ac:dyDescent="0.3">
      <c r="A3" t="s">
        <v>8</v>
      </c>
      <c r="B3">
        <f>COUNTIFS(ticket!$D:$D, $A3, ticket!$F:$F, TRUE)</f>
        <v>0</v>
      </c>
      <c r="C3">
        <f>COUNTIFS(ticket!$D:$D, $A3, ticket!$G:$G, TRUE)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Total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Narayanan Arjun</cp:lastModifiedBy>
  <dcterms:created xsi:type="dcterms:W3CDTF">2025-12-03T04:22:49Z</dcterms:created>
  <dcterms:modified xsi:type="dcterms:W3CDTF">2025-12-03T04:47:45Z</dcterms:modified>
</cp:coreProperties>
</file>